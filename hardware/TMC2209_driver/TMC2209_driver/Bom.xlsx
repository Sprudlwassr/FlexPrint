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Pac00\Nextcloud\0_HTL\Diplomarbeit\GitHub\67ABELI_FlexPrint\hardware\TMC2209_driver\TMC2209_driver\"/>
    </mc:Choice>
  </mc:AlternateContent>
  <xr:revisionPtr revIDLastSave="0" documentId="13_ncr:1_{904BA5AA-D6B2-49BA-B5C1-AE68ECC2A97F}" xr6:coauthVersionLast="47" xr6:coauthVersionMax="47" xr10:uidLastSave="{00000000-0000-0000-0000-000000000000}"/>
  <bookViews>
    <workbookView xWindow="-96" yWindow="-96" windowWidth="23232" windowHeight="12432" xr2:uid="{CFCD9756-790D-45DF-86F1-4B81C9A0BF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  <c r="K8" i="1" l="1"/>
  <c r="K9" i="1"/>
  <c r="K3" i="1"/>
  <c r="K5" i="1"/>
  <c r="K6" i="1"/>
  <c r="K2" i="1"/>
  <c r="K4" i="1"/>
  <c r="K7" i="1"/>
  <c r="K12" i="1" l="1"/>
</calcChain>
</file>

<file path=xl/sharedStrings.xml><?xml version="1.0" encoding="utf-8"?>
<sst xmlns="http://schemas.openxmlformats.org/spreadsheetml/2006/main" count="61" uniqueCount="49">
  <si>
    <t>Sourced</t>
  </si>
  <si>
    <t>Placed</t>
  </si>
  <si>
    <t>References</t>
  </si>
  <si>
    <t>Value</t>
  </si>
  <si>
    <t>Footprint</t>
  </si>
  <si>
    <t>C3, C4, C5, C9</t>
  </si>
  <si>
    <t>100nF</t>
  </si>
  <si>
    <t>C_0402_1005Metric</t>
  </si>
  <si>
    <t>C6, C7</t>
  </si>
  <si>
    <t>10µF</t>
  </si>
  <si>
    <t>C_1206_3216Metric</t>
  </si>
  <si>
    <t>C2</t>
  </si>
  <si>
    <t>4.7µF</t>
  </si>
  <si>
    <t>C3</t>
  </si>
  <si>
    <t>22n</t>
  </si>
  <si>
    <t>R1, R2, R6</t>
  </si>
  <si>
    <t>20k</t>
  </si>
  <si>
    <t>R_0402_1005Metric</t>
  </si>
  <si>
    <t>R4, R5</t>
  </si>
  <si>
    <t>120m</t>
  </si>
  <si>
    <t>R_0805_2012Metric</t>
  </si>
  <si>
    <t>U2</t>
  </si>
  <si>
    <t>~</t>
  </si>
  <si>
    <t>TMC2209_QFN28</t>
  </si>
  <si>
    <t>RV1</t>
  </si>
  <si>
    <t>J1, J2</t>
  </si>
  <si>
    <t>Conn_01x08</t>
  </si>
  <si>
    <t>PinHeader_1x08_P2.54mm_Vertical</t>
  </si>
  <si>
    <t>J3</t>
  </si>
  <si>
    <t>Conn_01x02</t>
  </si>
  <si>
    <t>PinHeader_1x02_P2.54mm_Vertical</t>
  </si>
  <si>
    <t>no</t>
  </si>
  <si>
    <t>https://www.reichelt.at/at/de/shop/produkt/mlcc_1206_10_f_35_v_-10_x5r-409223</t>
  </si>
  <si>
    <t>https://www.reichelt.at/at/de/shop/produkt/mlcc_0402_4_7uf_10_v_x5r_-20_-411511</t>
  </si>
  <si>
    <t>https://www.reichelt.at/at/de/shop/produkt/mlcc_0402_100nf_50_v_x5r_-10_-411526</t>
  </si>
  <si>
    <t>https://www.reichelt.at/at/de/shop/produkt/mlcc_0402_22nf_50_v_x7r_-10_-411516</t>
  </si>
  <si>
    <t>https://www.reichelt.at/at/de/shop/produkt/smd-widerstand_0402_20_kohm_100_mw_1_-250513</t>
  </si>
  <si>
    <t>https://www.mouser.at/ProductDetail/Panasonic/ERJ-6BSFR12V?qs=e5m3IbTHPW9Q2mo5%252B22eBg%3D%3D</t>
  </si>
  <si>
    <t>https://www.reichelt.at/at/de/shop/produkt/tmc2209_schrittmotor-treiber_2_0a-284702</t>
  </si>
  <si>
    <t>Anzahl Boards</t>
  </si>
  <si>
    <t>https://www.mouser.at/ProductDetail/Bourns/TC42X-2-203E?qs=A%2FHKLTFiEJHgsib30kUohg%3D%3D&amp;srsltid=AfmBOopIIocOXiEA0KE_iVsN1X_Lswpm_xk3xKGQtyLp2R30VGFicHAE</t>
  </si>
  <si>
    <t>TC42X-2-203E</t>
  </si>
  <si>
    <t>Summe</t>
  </si>
  <si>
    <t>Stk</t>
  </si>
  <si>
    <t>Stk Gesamt</t>
  </si>
  <si>
    <t>Pos</t>
  </si>
  <si>
    <t>Gesamtpreise</t>
  </si>
  <si>
    <t>Preis ab 10stk</t>
  </si>
  <si>
    <t>Preis pro 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</si>
</sst>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* #,##0.00_-;\-&quot;€&quot;* #,##0.00_-;_-&quot;€&quot;* &quot;-&quot;??_-;_-@_-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44" fontId="0" fillId="0" borderId="0" xfId="2" applyFont="1"/>
    <xf numFmtId="0" fontId="0" fillId="6" borderId="1" xfId="0" applyFill="1" applyBorder="1"/>
    <xf numFmtId="0" fontId="0" fillId="7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4" xfId="0" applyFill="1" applyBorder="1"/>
    <xf numFmtId="0" fontId="0" fillId="4" borderId="5" xfId="0" applyFill="1" applyBorder="1"/>
    <xf numFmtId="0" fontId="0" fillId="0" borderId="6" xfId="0" applyBorder="1"/>
    <xf numFmtId="0" fontId="1" fillId="0" borderId="0" xfId="1" applyBorder="1"/>
    <xf numFmtId="0" fontId="0" fillId="0" borderId="0" xfId="0" applyBorder="1"/>
    <xf numFmtId="44" fontId="0" fillId="0" borderId="0" xfId="2" applyFont="1" applyBorder="1"/>
    <xf numFmtId="44" fontId="0" fillId="0" borderId="7" xfId="2" applyFont="1" applyBorder="1"/>
    <xf numFmtId="0" fontId="0" fillId="0" borderId="8" xfId="0" applyBorder="1"/>
    <xf numFmtId="0" fontId="0" fillId="0" borderId="9" xfId="0" applyBorder="1"/>
    <xf numFmtId="44" fontId="0" fillId="0" borderId="9" xfId="2" applyFont="1" applyBorder="1"/>
    <xf numFmtId="44" fontId="0" fillId="5" borderId="10" xfId="2" applyNumberFormat="1" applyFont="1" applyFill="1" applyBorder="1"/>
    <xf numFmtId="44" fontId="0" fillId="0" borderId="11" xfId="2" applyFont="1" applyBorder="1"/>
  </cellXfs>
  <cellStyles count="3">
    <cellStyle name="Link" xfId="1" builtinId="8"/>
    <cellStyle name="Standard" xfId="0" builtinId="0"/>
    <cellStyle name="Währung" xfId="2" builtinId="4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D4621-1AB0-424B-9EB5-BD8E1CCDC418}" name="Tabelle1" displayName="Tabelle1" ref="A1:F11" totalsRowShown="0" headerRowDxfId="6">
  <autoFilter ref="A1:F11" xr:uid="{90BD4621-1AB0-424B-9EB5-BD8E1CCDC418}"/>
  <tableColumns count="6">
    <tableColumn id="1" xr3:uid="{2FBAA4BB-F90A-4BB6-9DAF-F2D1FEA942CA}" name="Pos"/>
    <tableColumn id="2" xr3:uid="{E6695FE9-07B7-4A0D-9422-47C836B27F19}" name="Sourced" dataCellStyle="Link"/>
    <tableColumn id="3" xr3:uid="{BC5768B6-2A09-4BD3-ABF7-3BA058BCB93E}" name="Placed"/>
    <tableColumn id="4" xr3:uid="{C53C3B5A-7844-468D-922C-B2B18B995674}" name="References"/>
    <tableColumn id="5" xr3:uid="{13BC64FE-B191-439F-8BDF-4B69E9BD3AF5}" name="Value"/>
    <tableColumn id="6" xr3:uid="{18E75A86-365B-47EE-9E48-5D15D1459A4F}" name="Footprint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1040C-BFC4-40A3-9CF8-6A083C529802}" name="Tabelle2" displayName="Tabelle2" ref="G1:J11" totalsRowShown="0" headerRowDxfId="2">
  <autoFilter ref="G1:J11" xr:uid="{73F1040C-BFC4-40A3-9CF8-6A083C529802}"/>
  <tableColumns count="4">
    <tableColumn id="1" xr3:uid="{08AF6D25-8061-4A94-92AC-3DB13841312C}" name="Stk"/>
    <tableColumn id="2" xr3:uid="{50BAC5BD-546B-4915-A374-7CBA285D9F83}" name="Stk Gesamt"/>
    <tableColumn id="3" xr3:uid="{5F0E40C1-5AC7-4C2F-843F-F769A51EEC76}" name="Preis pro stk" dataDxfId="1" dataCellStyle="Währung"/>
    <tableColumn id="4" xr3:uid="{E33D8528-884B-4D94-B4BB-2DE7F30FA05B}" name="Preis ab 10stk" dataDxfId="0" dataCellStyle="Währung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09685B-7CA2-494D-B186-EF0817B3A079}" name="Tabelle4" displayName="Tabelle4" ref="K1:K12" totalsRowShown="0" headerRowDxfId="3" dataDxfId="4" dataCellStyle="Währung">
  <autoFilter ref="K1:K12" xr:uid="{F409685B-7CA2-494D-B186-EF0817B3A079}"/>
  <tableColumns count="1">
    <tableColumn id="1" xr3:uid="{31A00F1B-9378-4795-B728-4A674BAB73E7}" name="Gesamtpreise" dataDxfId="5" dataCellStyle="Währung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at/ProductDetail/Bourns/TC42X-2-203E?qs=A%2FHKLTFiEJHgsib30kUohg%3D%3D&amp;srsltid=AfmBOopIIocOXiEA0KE_iVsN1X_Lswpm_xk3xKGQtyLp2R30VGFicHAE" TargetMode="External"/><Relationship Id="rId3" Type="http://schemas.openxmlformats.org/officeDocument/2006/relationships/hyperlink" Target="https://www.reichelt.at/at/de/shop/produkt/mlcc_0402_100nf_50_v_x5r_-10_-411526" TargetMode="External"/><Relationship Id="rId7" Type="http://schemas.openxmlformats.org/officeDocument/2006/relationships/hyperlink" Target="https://www.reichelt.at/at/de/shop/produkt/tmc2209_schrittmotor-treiber_2_0a-284702" TargetMode="External"/><Relationship Id="rId12" Type="http://schemas.openxmlformats.org/officeDocument/2006/relationships/table" Target="../tables/table3.xml"/><Relationship Id="rId2" Type="http://schemas.openxmlformats.org/officeDocument/2006/relationships/hyperlink" Target="https://www.reichelt.at/at/de/shop/produkt/mlcc_1206_10_f_35_v_-10_x5r-409223" TargetMode="External"/><Relationship Id="rId1" Type="http://schemas.openxmlformats.org/officeDocument/2006/relationships/hyperlink" Target="https://www.reichelt.at/at/de/shop/produkt/mlcc_0402_4_7uf_10_v_x5r_-20_-411511" TargetMode="External"/><Relationship Id="rId6" Type="http://schemas.openxmlformats.org/officeDocument/2006/relationships/hyperlink" Target="https://www.mouser.at/ProductDetail/Panasonic/ERJ-6BSFR12V?qs=e5m3IbTHPW9Q2mo5%252B22eBg%3D%3D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ww.reichelt.at/at/de/shop/produkt/smd-widerstand_0402_20_kohm_100_mw_1_-250513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reichelt.at/at/de/shop/produkt/mlcc_0402_22nf_50_v_x7r_-10_-411516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C9D6-14FC-466D-AFBA-22273C7D32EE}">
  <dimension ref="A1:N14"/>
  <sheetViews>
    <sheetView tabSelected="1" zoomScale="115" zoomScaleNormal="115" workbookViewId="0">
      <selection activeCell="E18" sqref="E18"/>
    </sheetView>
  </sheetViews>
  <sheetFormatPr baseColWidth="10" defaultRowHeight="14.4" x14ac:dyDescent="0.55000000000000004"/>
  <cols>
    <col min="1" max="1" width="5.05078125" customWidth="1"/>
    <col min="2" max="2" width="15.578125" customWidth="1"/>
    <col min="4" max="4" width="12.20703125" bestFit="1" customWidth="1"/>
    <col min="5" max="5" width="18.89453125" bestFit="1" customWidth="1"/>
    <col min="6" max="6" width="29.41796875" bestFit="1" customWidth="1"/>
    <col min="7" max="7" width="7.62890625" customWidth="1"/>
    <col min="8" max="8" width="11" customWidth="1"/>
    <col min="9" max="9" width="11.578125" customWidth="1"/>
    <col min="10" max="10" width="13.1015625" customWidth="1"/>
    <col min="11" max="11" width="12.89453125" customWidth="1"/>
    <col min="12" max="12" width="11.83984375" customWidth="1"/>
  </cols>
  <sheetData>
    <row r="1" spans="1:14" x14ac:dyDescent="0.55000000000000004">
      <c r="A1" s="5" t="s">
        <v>45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43</v>
      </c>
      <c r="H1" s="7" t="s">
        <v>44</v>
      </c>
      <c r="I1" s="7" t="s">
        <v>48</v>
      </c>
      <c r="J1" s="7" t="s">
        <v>47</v>
      </c>
      <c r="K1" s="8" t="s">
        <v>46</v>
      </c>
      <c r="L1" s="3" t="s">
        <v>39</v>
      </c>
    </row>
    <row r="2" spans="1:14" ht="14.7" thickBot="1" x14ac:dyDescent="0.6">
      <c r="A2" s="9">
        <v>1</v>
      </c>
      <c r="B2" s="10" t="s">
        <v>34</v>
      </c>
      <c r="C2" s="11" t="s">
        <v>31</v>
      </c>
      <c r="D2" s="11" t="s">
        <v>5</v>
      </c>
      <c r="E2" s="11" t="s">
        <v>6</v>
      </c>
      <c r="F2" s="11" t="s">
        <v>7</v>
      </c>
      <c r="G2" s="11">
        <v>4</v>
      </c>
      <c r="H2" s="11">
        <f>L2*G2</f>
        <v>40</v>
      </c>
      <c r="I2" s="12">
        <v>0.02</v>
      </c>
      <c r="J2" s="12">
        <v>0.02</v>
      </c>
      <c r="K2" s="13">
        <f>H2*I2</f>
        <v>0.8</v>
      </c>
      <c r="L2" s="4">
        <v>10</v>
      </c>
    </row>
    <row r="3" spans="1:14" x14ac:dyDescent="0.55000000000000004">
      <c r="A3" s="9">
        <v>2</v>
      </c>
      <c r="B3" s="10" t="s">
        <v>32</v>
      </c>
      <c r="C3" s="11" t="s">
        <v>31</v>
      </c>
      <c r="D3" s="11" t="s">
        <v>8</v>
      </c>
      <c r="E3" s="11" t="s">
        <v>9</v>
      </c>
      <c r="F3" s="11" t="s">
        <v>10</v>
      </c>
      <c r="G3" s="11">
        <v>2</v>
      </c>
      <c r="H3" s="11">
        <f>L2*G3</f>
        <v>20</v>
      </c>
      <c r="I3" s="12">
        <v>0.08</v>
      </c>
      <c r="J3" s="12">
        <v>0.08</v>
      </c>
      <c r="K3" s="13">
        <f>H3*I3</f>
        <v>1.6</v>
      </c>
    </row>
    <row r="4" spans="1:14" x14ac:dyDescent="0.55000000000000004">
      <c r="A4" s="9">
        <v>3</v>
      </c>
      <c r="B4" s="10" t="s">
        <v>33</v>
      </c>
      <c r="C4" s="11" t="s">
        <v>31</v>
      </c>
      <c r="D4" s="11" t="s">
        <v>11</v>
      </c>
      <c r="E4" s="11" t="s">
        <v>12</v>
      </c>
      <c r="F4" s="11" t="s">
        <v>7</v>
      </c>
      <c r="G4" s="11">
        <v>1</v>
      </c>
      <c r="H4" s="11">
        <f>L2*G4</f>
        <v>10</v>
      </c>
      <c r="I4" s="12">
        <v>0.03</v>
      </c>
      <c r="J4" s="12">
        <v>0.03</v>
      </c>
      <c r="K4" s="13">
        <f>H4*I4</f>
        <v>0.3</v>
      </c>
    </row>
    <row r="5" spans="1:14" x14ac:dyDescent="0.55000000000000004">
      <c r="A5" s="9">
        <v>4</v>
      </c>
      <c r="B5" s="10" t="s">
        <v>35</v>
      </c>
      <c r="C5" s="11" t="s">
        <v>31</v>
      </c>
      <c r="D5" s="11" t="s">
        <v>13</v>
      </c>
      <c r="E5" s="11" t="s">
        <v>14</v>
      </c>
      <c r="F5" s="11" t="s">
        <v>7</v>
      </c>
      <c r="G5" s="11">
        <v>1</v>
      </c>
      <c r="H5" s="11">
        <f>L2*G5</f>
        <v>10</v>
      </c>
      <c r="I5" s="12">
        <v>0.02</v>
      </c>
      <c r="J5" s="12">
        <v>0.02</v>
      </c>
      <c r="K5" s="13">
        <f>H5*I5</f>
        <v>0.2</v>
      </c>
    </row>
    <row r="6" spans="1:14" x14ac:dyDescent="0.55000000000000004">
      <c r="A6" s="9">
        <v>5</v>
      </c>
      <c r="B6" s="10" t="s">
        <v>36</v>
      </c>
      <c r="C6" s="11" t="s">
        <v>31</v>
      </c>
      <c r="D6" s="11" t="s">
        <v>15</v>
      </c>
      <c r="E6" s="11" t="s">
        <v>16</v>
      </c>
      <c r="F6" s="11" t="s">
        <v>17</v>
      </c>
      <c r="G6" s="11">
        <v>3</v>
      </c>
      <c r="H6" s="11">
        <f>L2*G6</f>
        <v>30</v>
      </c>
      <c r="I6" s="12">
        <v>0.02</v>
      </c>
      <c r="J6" s="12">
        <v>0.02</v>
      </c>
      <c r="K6" s="13">
        <f>H6*I6</f>
        <v>0.6</v>
      </c>
    </row>
    <row r="7" spans="1:14" x14ac:dyDescent="0.55000000000000004">
      <c r="A7" s="9">
        <v>6</v>
      </c>
      <c r="B7" s="10" t="s">
        <v>37</v>
      </c>
      <c r="C7" s="11" t="s">
        <v>31</v>
      </c>
      <c r="D7" s="11" t="s">
        <v>18</v>
      </c>
      <c r="E7" s="11" t="s">
        <v>19</v>
      </c>
      <c r="F7" s="11" t="s">
        <v>20</v>
      </c>
      <c r="G7" s="11">
        <v>2</v>
      </c>
      <c r="H7" s="11">
        <f>L2*G7</f>
        <v>20</v>
      </c>
      <c r="I7" s="12">
        <v>0.24099999999999999</v>
      </c>
      <c r="J7" s="12">
        <v>0.155</v>
      </c>
      <c r="K7" s="13">
        <f>J7*H7</f>
        <v>3.1</v>
      </c>
    </row>
    <row r="8" spans="1:14" x14ac:dyDescent="0.55000000000000004">
      <c r="A8" s="9">
        <v>7</v>
      </c>
      <c r="B8" s="10" t="s">
        <v>38</v>
      </c>
      <c r="C8" s="11" t="s">
        <v>31</v>
      </c>
      <c r="D8" s="11" t="s">
        <v>21</v>
      </c>
      <c r="E8" s="11" t="s">
        <v>22</v>
      </c>
      <c r="F8" s="11" t="s">
        <v>23</v>
      </c>
      <c r="G8" s="11">
        <v>1</v>
      </c>
      <c r="H8" s="11">
        <f>L2*G8</f>
        <v>10</v>
      </c>
      <c r="I8" s="12">
        <v>3.33</v>
      </c>
      <c r="J8" s="12">
        <v>3.33</v>
      </c>
      <c r="K8" s="13">
        <f>J8*H8</f>
        <v>33.299999999999997</v>
      </c>
      <c r="N8" s="1"/>
    </row>
    <row r="9" spans="1:14" x14ac:dyDescent="0.55000000000000004">
      <c r="A9" s="9">
        <v>8</v>
      </c>
      <c r="B9" s="10" t="s">
        <v>40</v>
      </c>
      <c r="C9" s="11" t="s">
        <v>31</v>
      </c>
      <c r="D9" s="11" t="s">
        <v>24</v>
      </c>
      <c r="E9" s="11" t="s">
        <v>16</v>
      </c>
      <c r="F9" s="11" t="s">
        <v>41</v>
      </c>
      <c r="G9" s="11">
        <v>1</v>
      </c>
      <c r="H9" s="11">
        <f>L2*G9</f>
        <v>10</v>
      </c>
      <c r="I9" s="12">
        <v>0.38700000000000001</v>
      </c>
      <c r="J9" s="12">
        <v>0.28999999999999998</v>
      </c>
      <c r="K9" s="13">
        <f>J9*H9</f>
        <v>2.9</v>
      </c>
    </row>
    <row r="10" spans="1:14" x14ac:dyDescent="0.55000000000000004">
      <c r="A10" s="9">
        <v>9</v>
      </c>
      <c r="B10" s="11"/>
      <c r="C10" s="11" t="s">
        <v>31</v>
      </c>
      <c r="D10" s="11" t="s">
        <v>25</v>
      </c>
      <c r="E10" s="11" t="s">
        <v>26</v>
      </c>
      <c r="F10" s="11" t="s">
        <v>27</v>
      </c>
      <c r="G10" s="11">
        <v>2</v>
      </c>
      <c r="H10" s="11">
        <f>L2*G10</f>
        <v>20</v>
      </c>
      <c r="I10" s="12"/>
      <c r="J10" s="12"/>
      <c r="K10" s="13"/>
    </row>
    <row r="11" spans="1:14" ht="14.7" thickBot="1" x14ac:dyDescent="0.6">
      <c r="A11" s="14">
        <v>10</v>
      </c>
      <c r="B11" s="15"/>
      <c r="C11" s="15" t="s">
        <v>31</v>
      </c>
      <c r="D11" s="15" t="s">
        <v>28</v>
      </c>
      <c r="E11" s="15" t="s">
        <v>29</v>
      </c>
      <c r="F11" s="15" t="s">
        <v>30</v>
      </c>
      <c r="G11" s="15">
        <v>1</v>
      </c>
      <c r="H11" s="15">
        <f>L2*G11</f>
        <v>10</v>
      </c>
      <c r="I11" s="16"/>
      <c r="J11" s="12"/>
      <c r="K11" s="13"/>
    </row>
    <row r="12" spans="1:14" ht="14.7" thickBot="1" x14ac:dyDescent="0.6">
      <c r="J12" s="17" t="s">
        <v>42</v>
      </c>
      <c r="K12" s="18">
        <f>SUM(K2:K11)</f>
        <v>42.8</v>
      </c>
    </row>
    <row r="14" spans="1:14" x14ac:dyDescent="0.55000000000000004">
      <c r="I14" s="2"/>
      <c r="J14" s="2"/>
    </row>
  </sheetData>
  <hyperlinks>
    <hyperlink ref="B4" r:id="rId1" xr:uid="{C5724BCF-FEAF-4622-9E13-EF0373C57FC5}"/>
    <hyperlink ref="B3" r:id="rId2" xr:uid="{C025220C-0329-4722-B1EA-A01BD02634E9}"/>
    <hyperlink ref="B2" r:id="rId3" xr:uid="{CAB54542-797A-4AB6-8560-F19DC7D7854A}"/>
    <hyperlink ref="B5" r:id="rId4" xr:uid="{9B3EDC5C-6321-48DA-950C-212D3BF43133}"/>
    <hyperlink ref="B6" r:id="rId5" xr:uid="{036A4B84-C322-4265-86DD-4805E932798E}"/>
    <hyperlink ref="B7" r:id="rId6" xr:uid="{D81FBEE7-8AE1-4ACB-9ABB-B32267C65040}"/>
    <hyperlink ref="B8" r:id="rId7" xr:uid="{7BBD54FE-21AC-45CB-9837-275FFABAE6BD}"/>
    <hyperlink ref="B9" r:id="rId8" xr:uid="{87D00D4D-EFE6-4848-A704-2B34C26905FB}"/>
  </hyperlinks>
  <pageMargins left="0.7" right="0.7" top="0.78740157499999996" bottom="0.78740157499999996" header="0.3" footer="0.3"/>
  <pageSetup paperSize="9" orientation="portrait" r:id="rId9"/>
  <headerFooter>
    <oddFooter>&amp;C_x000D_&amp;1#&amp;"Arial"&amp;8&amp;K13A10E C1 - Internal</oddFooter>
  </headerFooter>
  <tableParts count="3">
    <tablePart r:id="rId10"/>
    <tablePart r:id="rId11"/>
    <tablePart r:id="rId12"/>
  </tableParts>
</worksheet>
</file>

<file path=docMetadata/LabelInfo.xml><?xml version="1.0" encoding="utf-8"?>
<clbl:labelList xmlns:clbl="http://schemas.microsoft.com/office/2020/mipLabelMetadata">
  <clbl:label id="{7153fe9b-4f78-4308-9e6f-9eb67701de62}" enabled="1" method="Standard" siteId="{1357ca9e-a1a5-404b-bb16-554d5d05c5c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Pachler</dc:creator>
  <cp:lastModifiedBy>Fabio Pachler</cp:lastModifiedBy>
  <dcterms:created xsi:type="dcterms:W3CDTF">2025-12-09T09:11:18Z</dcterms:created>
  <dcterms:modified xsi:type="dcterms:W3CDTF">2025-12-12T07:35:13Z</dcterms:modified>
</cp:coreProperties>
</file>