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Pac00\Nextcloud\0_HTL\Diplomarbeit\GitHub\67ABELI_FlexPrint\hardware\TMC2209_driver\TMC2209_driver\"/>
    </mc:Choice>
  </mc:AlternateContent>
  <xr:revisionPtr revIDLastSave="0" documentId="13_ncr:1_{D67BAF71-D328-4C12-A71C-9F606798AB05}" xr6:coauthVersionLast="47" xr6:coauthVersionMax="47" xr10:uidLastSave="{00000000-0000-0000-0000-000000000000}"/>
  <bookViews>
    <workbookView xWindow="57480" yWindow="-120" windowWidth="29040" windowHeight="17520" xr2:uid="{CFCD9756-790D-45DF-86F1-4B81C9A0BF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J18" i="1" s="1"/>
  <c r="J14" i="1"/>
  <c r="J16" i="1"/>
  <c r="J23" i="1"/>
  <c r="J25" i="1"/>
  <c r="J31" i="1"/>
  <c r="J32" i="1"/>
  <c r="G38" i="1"/>
  <c r="J38" i="1" s="1"/>
  <c r="G37" i="1"/>
  <c r="J37" i="1" s="1"/>
  <c r="G36" i="1"/>
  <c r="J36" i="1" s="1"/>
  <c r="G35" i="1"/>
  <c r="J35" i="1" s="1"/>
  <c r="G34" i="1"/>
  <c r="J34" i="1" s="1"/>
  <c r="G33" i="1"/>
  <c r="J33" i="1" s="1"/>
  <c r="G32" i="1"/>
  <c r="G31" i="1"/>
  <c r="G30" i="1"/>
  <c r="J30" i="1" s="1"/>
  <c r="G29" i="1"/>
  <c r="J29" i="1" s="1"/>
  <c r="G28" i="1"/>
  <c r="J28" i="1" s="1"/>
  <c r="G27" i="1"/>
  <c r="J27" i="1" s="1"/>
  <c r="G26" i="1"/>
  <c r="J26" i="1" s="1"/>
  <c r="G25" i="1"/>
  <c r="G24" i="1"/>
  <c r="J24" i="1" s="1"/>
  <c r="G23" i="1"/>
  <c r="G22" i="1"/>
  <c r="J22" i="1" s="1"/>
  <c r="G21" i="1"/>
  <c r="J21" i="1" s="1"/>
  <c r="G20" i="1"/>
  <c r="J20" i="1" s="1"/>
  <c r="G19" i="1"/>
  <c r="J19" i="1" s="1"/>
  <c r="G17" i="1"/>
  <c r="J17" i="1" s="1"/>
  <c r="G16" i="1"/>
  <c r="G15" i="1"/>
  <c r="J15" i="1" s="1"/>
  <c r="G14" i="1"/>
  <c r="G13" i="1"/>
  <c r="J13" i="1" s="1"/>
  <c r="G12" i="1"/>
  <c r="J12" i="1" s="1"/>
  <c r="G2" i="1"/>
  <c r="G3" i="1"/>
  <c r="G4" i="1"/>
  <c r="G5" i="1"/>
  <c r="G6" i="1"/>
  <c r="G7" i="1"/>
  <c r="G8" i="1"/>
  <c r="G9" i="1"/>
  <c r="G10" i="1"/>
  <c r="J10" i="1" s="1"/>
  <c r="G11" i="1"/>
  <c r="J11" i="1" s="1"/>
  <c r="J8" i="1" l="1"/>
  <c r="J9" i="1"/>
  <c r="J3" i="1"/>
  <c r="J5" i="1"/>
  <c r="J6" i="1"/>
  <c r="J2" i="1"/>
  <c r="J4" i="1"/>
  <c r="J7" i="1"/>
  <c r="J39" i="1" l="1"/>
</calcChain>
</file>

<file path=xl/sharedStrings.xml><?xml version="1.0" encoding="utf-8"?>
<sst xmlns="http://schemas.openxmlformats.org/spreadsheetml/2006/main" count="149" uniqueCount="130">
  <si>
    <t>Sourced</t>
  </si>
  <si>
    <t>References</t>
  </si>
  <si>
    <t>Value</t>
  </si>
  <si>
    <t>Footprint</t>
  </si>
  <si>
    <t>R_0805_2012Metric</t>
  </si>
  <si>
    <t>PinHeader_1x02_P2.54mm_Vertical</t>
  </si>
  <si>
    <t>Anzahl Boards</t>
  </si>
  <si>
    <t>Stk</t>
  </si>
  <si>
    <t>Stk Gesamt</t>
  </si>
  <si>
    <t>Pos</t>
  </si>
  <si>
    <t>Gesamtpreise</t>
  </si>
  <si>
    <t>Preis ab 10stk</t>
  </si>
  <si>
    <t>Preis pro stk</t>
  </si>
  <si>
    <t>C10, C16, C17, C18, C19, C20, C21, C22, C27</t>
  </si>
  <si>
    <t>C23, C24, C25, C36, C37, C38, C39, C40</t>
  </si>
  <si>
    <t>C2, C3, C12, C13</t>
  </si>
  <si>
    <t>C26, C33, C34, C35</t>
  </si>
  <si>
    <t>C30, C31, C32</t>
  </si>
  <si>
    <t>C1, C11</t>
  </si>
  <si>
    <t>C14</t>
  </si>
  <si>
    <t>C15</t>
  </si>
  <si>
    <t>C28</t>
  </si>
  <si>
    <t>C29</t>
  </si>
  <si>
    <t>R1, R6, R8, R10, R16, R18</t>
  </si>
  <si>
    <t>R2, R3, R11, R12</t>
  </si>
  <si>
    <t>R4, R5, R7, R9</t>
  </si>
  <si>
    <t>R15, R17</t>
  </si>
  <si>
    <t>R23, R24</t>
  </si>
  <si>
    <t>R13</t>
  </si>
  <si>
    <t>R14</t>
  </si>
  <si>
    <t>R19</t>
  </si>
  <si>
    <t>R20</t>
  </si>
  <si>
    <t>R21</t>
  </si>
  <si>
    <t>R22</t>
  </si>
  <si>
    <t>L1</t>
  </si>
  <si>
    <t>D1</t>
  </si>
  <si>
    <t>U1, U2</t>
  </si>
  <si>
    <t>U3</t>
  </si>
  <si>
    <t>U4</t>
  </si>
  <si>
    <t>F1, F2</t>
  </si>
  <si>
    <t>F3</t>
  </si>
  <si>
    <t>F4</t>
  </si>
  <si>
    <t>Q2, Q4, Q5, Q6</t>
  </si>
  <si>
    <t>Q7, Q8</t>
  </si>
  <si>
    <t>100n</t>
  </si>
  <si>
    <t>100µ</t>
  </si>
  <si>
    <t>10u</t>
  </si>
  <si>
    <t>2.2uF</t>
  </si>
  <si>
    <t>47uF</t>
  </si>
  <si>
    <t>470µ</t>
  </si>
  <si>
    <t>2.2uF (tantal)</t>
  </si>
  <si>
    <t>470pF</t>
  </si>
  <si>
    <t>4.7pF</t>
  </si>
  <si>
    <t>4.7nF</t>
  </si>
  <si>
    <t>100k</t>
  </si>
  <si>
    <t>4k7</t>
  </si>
  <si>
    <t>50R</t>
  </si>
  <si>
    <t>100R</t>
  </si>
  <si>
    <t>1k</t>
  </si>
  <si>
    <t>16.9k</t>
  </si>
  <si>
    <t>442k</t>
  </si>
  <si>
    <t>90.9k</t>
  </si>
  <si>
    <t>243k</t>
  </si>
  <si>
    <t>53.6k</t>
  </si>
  <si>
    <t>10.2k</t>
  </si>
  <si>
    <t>7.2uH</t>
  </si>
  <si>
    <t>B560C</t>
  </si>
  <si>
    <t>MIC4426</t>
  </si>
  <si>
    <t>TPS54560BDDA</t>
  </si>
  <si>
    <t>MIC5219-3.3YM5</t>
  </si>
  <si>
    <t>3A</t>
  </si>
  <si>
    <t>15A</t>
  </si>
  <si>
    <t>Fuse</t>
  </si>
  <si>
    <t>PSMN5R2-60YL</t>
  </si>
  <si>
    <t>AO3400A</t>
  </si>
  <si>
    <t>C_0805_2012Metric</t>
  </si>
  <si>
    <t>CP_Elec_8x10</t>
  </si>
  <si>
    <t>CP_Elec_16x17.5</t>
  </si>
  <si>
    <t>CP_EIA-3216-10_Kemet-I</t>
  </si>
  <si>
    <t>L_Wuerth_WE-PDF</t>
  </si>
  <si>
    <t>D_SMC</t>
  </si>
  <si>
    <t>SOIC-8_3.9x4.9mm_P1.27mm</t>
  </si>
  <si>
    <t>Texas_R-PDSO-G8_EP2.95x4.9mm_Mask2.4x3.1mm_ThermalVias</t>
  </si>
  <si>
    <t>SOT-23-5</t>
  </si>
  <si>
    <t>Fuse_1206_3216Metric</t>
  </si>
  <si>
    <t>LFPAK56</t>
  </si>
  <si>
    <t>SOT-23</t>
  </si>
  <si>
    <t>PinSocket_2x19_P2.54mm_Vertical</t>
  </si>
  <si>
    <t>JST_XH_B3B-XH-A_1x03_P2.50mm_Vertical</t>
  </si>
  <si>
    <t>TerminalBlock_bornier-2_P5.08mm</t>
  </si>
  <si>
    <t>JST_XH_B2B-XH-A_1x02_P2.50mm_Vertical</t>
  </si>
  <si>
    <t>PinHeader_1x04_P2.54mm_Vertical</t>
  </si>
  <si>
    <t>X_END, Y_END, Z_END</t>
  </si>
  <si>
    <t>J1, J2, J27</t>
  </si>
  <si>
    <t>J3, J6, J7, J8, J9, J10</t>
  </si>
  <si>
    <t>Terminal</t>
  </si>
  <si>
    <t>J28, J31, J32, J33, J34, J35, J38, J39, J40, J41, J45, J46, J47, J48, J53, J54</t>
  </si>
  <si>
    <t>J36, J37, J42, J43, J44, J49, J50, J55</t>
  </si>
  <si>
    <t>J12, J13, J29, J30, J51, J52</t>
  </si>
  <si>
    <t>CN1, CN2</t>
  </si>
  <si>
    <t>NUCLE_F446RE_MORPHO</t>
  </si>
  <si>
    <t>https://www.mouser.at/ProductDetail/Microchip-Technology/MIC4426ZM?qs=kh6iOki%2FeLEtxNW3ipWFFg%3D%3D</t>
  </si>
  <si>
    <t>https://www.mouser.at/ProductDetail/Microchip-Technology/MIC5219-3.3YM5-TR?qs=U6T8BxXiZAWojkIJMtSJlw%3D%3D</t>
  </si>
  <si>
    <t>https://www.mouser.at/ProductDetail/Texas-Instruments/TPS54560BDDA?qs=gZXFycFWdAMqSdZZ7nACGQ%3D%3D</t>
  </si>
  <si>
    <t>https://www.reichelt.at/at/de/shop/produkt/vielschicht-kerko_4_7pf_50v_125_c-393596</t>
  </si>
  <si>
    <t>https://www.reichelt.at/at/de/shop/produkt/vielschicht-kerko_100nf_50v_125_c-207073</t>
  </si>
  <si>
    <t>https://www.reichelt.at/at/de/shop/produkt/mlcc_0805_47_f_6_3_v_-20_x5r-409188</t>
  </si>
  <si>
    <t>https://www.reichelt.at/at/de/shop/produkt/mlcc_0805_2_2_f_25_v_-10_x7r-409169</t>
  </si>
  <si>
    <t>https://www.reichelt.at/at/de/shop/produkt/mlcc_0805_10_f_16_v_-10_x6s-409193</t>
  </si>
  <si>
    <t>https://www.reichelt.at/at/de/shop/produkt/vielschicht-kerko_470pf_50v_125_c-393572</t>
  </si>
  <si>
    <t>https://www.reichelt.at/at/de/shop/produkt/mlcc_0805_4_7_nf_50_v_-5_c0g-409187</t>
  </si>
  <si>
    <t>https://www.reichelt.at/at/de/shop/produkt/smd-tantal_2_2_f_16v_125_c-206498</t>
  </si>
  <si>
    <t>https://www.reichelt.at/at/de/shop/produkt/elko_smd_470_f_63v_5000h_low_esr-174999</t>
  </si>
  <si>
    <t>https://www.reichelt.at/at/de/shop/produkt/elko_smd_100_f_50_v_105_c_low_imp_8_x_10_mm-275883</t>
  </si>
  <si>
    <t>https://www.reichelt.at/at/de/shop/produkt/smd-widerstand_0805_100_kohm_125_mw_1_-32910</t>
  </si>
  <si>
    <t>https://www.reichelt.at/at/de/shop/produkt/smd-widerstand_0805_4_7_kohm_125_mw_1_-32894</t>
  </si>
  <si>
    <t>https://www.reichelt.at/at/de/shop/produkt/smd-widerstand_0805_49_9_ohm_125_mw_0_1_-123203</t>
  </si>
  <si>
    <t>https://www.reichelt.at/at/de/shop/produkt/smd-widerstand_0805_100_ohm_125_mw_1_-32874</t>
  </si>
  <si>
    <t>https://www.reichelt.at/at/de/shop/produkt/smd-widerstand_0805_1_0_kohm_125_mw_1_-32886</t>
  </si>
  <si>
    <t>https://www.reichelt.at/at/de/shop/produkt/smd-widerstand_0805_16_9_kohm_125_mw_0_1_-123317</t>
  </si>
  <si>
    <t>https://www.mouser.at/ProductDetail/YAGEO/RC0805FR-07442KL?qs=sGAEpiMZZMvdGkrng054t2KVT%252B7f6DyZs9NcVSygYUI%3D</t>
  </si>
  <si>
    <t>https://www.mouser.at/ProductDetail/SEI-Stackpole/RMCF0805FT90K9?qs=sGAEpiMZZMvdGkrng054tyMPH50YnZ95nL0T0gvwrnsYZPrjA70Fgg%3D%3D</t>
  </si>
  <si>
    <t>https://www.mouser.at/ProductDetail/Panasonic/ERA-6AEB5362V?qs=sGAEpiMZZMvdGkrng054t4QdAY%2FQ0Lwe7qsPij4ukGY%3D</t>
  </si>
  <si>
    <t>https://www.mouser.at/ProductDetail/SEI-Stackpole/RMCF0805FT10K2?qs=sGAEpiMZZMvdGkrng054t2cqbZCzJY7N57Gw9mRU8onx7XYzI39CRg%3D%3D</t>
  </si>
  <si>
    <t>https://www.mouser.at/ProductDetail/Wurth-Elektronik/7447798720?qs=E%2F%2FhvbtCqpOcNhO9pFvFww%3D%3D</t>
  </si>
  <si>
    <t>https://www.mouser.at/ProductDetail/Diodes-Incorporated/B560C?qs=e5T%2FzGlhGObuwwV6I9BY7Q%3D%3D</t>
  </si>
  <si>
    <t>https://www.mouser.at/ProductDetail/Bel-Fuse/0685P3000-01?qs=vLWxofP3U2zFsQz51kvowA%3D%3D</t>
  </si>
  <si>
    <t>https://www.mouser.at/ProductDetail/Bel-Fuse/0685P9150-01?qs=vLWxofP3U2wa1wOOHrjskQ%3D%3D</t>
  </si>
  <si>
    <t>https://www.mouser.at/ProductDetail/Nexperia/PSMN5R2-60YLX?qs=GIi83qBHgilaQeuaFRmccg%3D%3D</t>
  </si>
  <si>
    <t>https://www.reichelt.at/at/de/shop/produkt/mosfet_n-ch_30v_5_7a_0_018r_sot-23-166490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</si>
</sst>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1" xfId="0" applyFill="1" applyBorder="1"/>
    <xf numFmtId="0" fontId="2" fillId="3" borderId="2" xfId="2" applyBorder="1"/>
    <xf numFmtId="0" fontId="2" fillId="3" borderId="0" xfId="2" applyBorder="1"/>
    <xf numFmtId="0" fontId="2" fillId="3" borderId="3" xfId="2" applyBorder="1"/>
  </cellXfs>
  <cellStyles count="3">
    <cellStyle name="60 % - Akzent3" xfId="2" builtinId="40"/>
    <cellStyle name="Link" xfId="1" builtinId="8"/>
    <cellStyle name="Standard" xfId="0" builtinId="0"/>
  </cellStyles>
  <dxfs count="1"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BC37F-088F-4DB6-91E9-78C95CF0FF55}" name="Tabelle1" displayName="Tabelle1" ref="A1:J38" totalsRowShown="0" tableBorderDxfId="0" headerRowCellStyle="60 % - Akzent3">
  <autoFilter ref="A1:J38" xr:uid="{D19BC37F-088F-4DB6-91E9-78C95CF0FF55}"/>
  <tableColumns count="10">
    <tableColumn id="1" xr3:uid="{E04DBEC7-7F6C-471E-AA90-E6A7EC89F24D}" name="Pos"/>
    <tableColumn id="2" xr3:uid="{F9960765-6009-45E4-8F47-381F90E76546}" name="Sourced"/>
    <tableColumn id="3" xr3:uid="{0FA3254C-9981-45DD-9A16-12C9DB686072}" name="References"/>
    <tableColumn id="4" xr3:uid="{FAC460D0-AF6D-4CD8-B201-CC0565E98C49}" name="Value"/>
    <tableColumn id="5" xr3:uid="{5DD3CEF5-5580-4854-BC55-0D475FF38184}" name="Footprint"/>
    <tableColumn id="6" xr3:uid="{2F2815E2-7BDC-4170-9855-7662E5215FBA}" name="Stk"/>
    <tableColumn id="7" xr3:uid="{8A8B2863-0606-4C97-ACD3-BED59A0D8377}" name="Stk Gesamt"/>
    <tableColumn id="8" xr3:uid="{D03060A2-FCDD-40CD-92F6-452AEB1011B8}" name="Preis pro stk"/>
    <tableColumn id="9" xr3:uid="{1BF12059-C096-4E61-8375-B51DE0EBD537}" name="Preis ab 10stk"/>
    <tableColumn id="10" xr3:uid="{31FB9753-5D20-43B1-8742-B1BE63D0607D}" name="Gesamtprei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9D6-14FC-466D-AFBA-22273C7D32EE}">
  <dimension ref="A1:N39"/>
  <sheetViews>
    <sheetView tabSelected="1" zoomScaleNormal="100" workbookViewId="0">
      <selection activeCell="E40" sqref="E40"/>
    </sheetView>
  </sheetViews>
  <sheetFormatPr baseColWidth="10" defaultRowHeight="14.4" x14ac:dyDescent="0.55000000000000004"/>
  <cols>
    <col min="1" max="1" width="5.68359375" customWidth="1"/>
    <col min="2" max="2" width="21.7890625" customWidth="1"/>
    <col min="3" max="3" width="55.83984375" bestFit="1" customWidth="1"/>
    <col min="4" max="4" width="21.47265625" bestFit="1" customWidth="1"/>
    <col min="5" max="5" width="53.1015625" customWidth="1"/>
    <col min="6" max="6" width="7.05078125" customWidth="1"/>
    <col min="7" max="7" width="12.1015625" customWidth="1"/>
    <col min="8" max="8" width="12.89453125" customWidth="1"/>
    <col min="9" max="9" width="13.9453125" customWidth="1"/>
    <col min="10" max="10" width="14.3671875" customWidth="1"/>
    <col min="11" max="11" width="12.89453125" customWidth="1"/>
    <col min="12" max="12" width="11.83984375" customWidth="1"/>
  </cols>
  <sheetData>
    <row r="1" spans="1:14" x14ac:dyDescent="0.55000000000000004">
      <c r="A1" s="3" t="s">
        <v>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7</v>
      </c>
      <c r="G1" s="4" t="s">
        <v>8</v>
      </c>
      <c r="H1" s="4" t="s">
        <v>12</v>
      </c>
      <c r="I1" s="4" t="s">
        <v>11</v>
      </c>
      <c r="J1" s="5" t="s">
        <v>10</v>
      </c>
      <c r="K1" s="2" t="s">
        <v>6</v>
      </c>
    </row>
    <row r="2" spans="1:14" x14ac:dyDescent="0.55000000000000004">
      <c r="A2">
        <v>1</v>
      </c>
      <c r="B2" t="s">
        <v>105</v>
      </c>
      <c r="C2" t="s">
        <v>13</v>
      </c>
      <c r="D2" t="s">
        <v>44</v>
      </c>
      <c r="E2" t="s">
        <v>75</v>
      </c>
      <c r="F2">
        <v>9</v>
      </c>
      <c r="G2">
        <f>K2*F2</f>
        <v>9</v>
      </c>
      <c r="H2">
        <v>0.02</v>
      </c>
      <c r="I2">
        <v>0.02</v>
      </c>
      <c r="J2">
        <f>G2*H2</f>
        <v>0.18</v>
      </c>
      <c r="K2">
        <v>1</v>
      </c>
    </row>
    <row r="3" spans="1:14" x14ac:dyDescent="0.55000000000000004">
      <c r="A3">
        <v>2</v>
      </c>
      <c r="B3" t="s">
        <v>113</v>
      </c>
      <c r="C3" t="s">
        <v>14</v>
      </c>
      <c r="D3" t="s">
        <v>45</v>
      </c>
      <c r="E3" t="s">
        <v>76</v>
      </c>
      <c r="F3">
        <v>8</v>
      </c>
      <c r="G3">
        <f>K2*F3</f>
        <v>8</v>
      </c>
      <c r="H3">
        <v>0.3</v>
      </c>
      <c r="I3">
        <v>0.3</v>
      </c>
      <c r="J3">
        <f>G3*H3</f>
        <v>2.4</v>
      </c>
    </row>
    <row r="4" spans="1:14" x14ac:dyDescent="0.55000000000000004">
      <c r="A4">
        <v>3</v>
      </c>
      <c r="B4" t="s">
        <v>108</v>
      </c>
      <c r="C4" t="s">
        <v>15</v>
      </c>
      <c r="D4" t="s">
        <v>46</v>
      </c>
      <c r="E4" t="s">
        <v>75</v>
      </c>
      <c r="F4">
        <v>4</v>
      </c>
      <c r="G4">
        <f>K2*F4</f>
        <v>4</v>
      </c>
      <c r="H4">
        <v>0.03</v>
      </c>
      <c r="I4">
        <v>0.03</v>
      </c>
      <c r="J4">
        <f>G4*H4</f>
        <v>0.12</v>
      </c>
    </row>
    <row r="5" spans="1:14" x14ac:dyDescent="0.55000000000000004">
      <c r="A5">
        <v>4</v>
      </c>
      <c r="B5" t="s">
        <v>107</v>
      </c>
      <c r="C5" t="s">
        <v>16</v>
      </c>
      <c r="D5" t="s">
        <v>47</v>
      </c>
      <c r="E5" t="s">
        <v>75</v>
      </c>
      <c r="F5">
        <v>4</v>
      </c>
      <c r="G5">
        <f>K2*F5</f>
        <v>4</v>
      </c>
      <c r="H5">
        <v>0.03</v>
      </c>
      <c r="I5">
        <v>0.03</v>
      </c>
      <c r="J5">
        <f>G5*H5</f>
        <v>0.12</v>
      </c>
    </row>
    <row r="6" spans="1:14" x14ac:dyDescent="0.55000000000000004">
      <c r="A6">
        <v>5</v>
      </c>
      <c r="B6" t="s">
        <v>106</v>
      </c>
      <c r="C6" t="s">
        <v>17</v>
      </c>
      <c r="D6" t="s">
        <v>48</v>
      </c>
      <c r="E6" t="s">
        <v>75</v>
      </c>
      <c r="F6">
        <v>3</v>
      </c>
      <c r="G6">
        <f>K2*F6</f>
        <v>3</v>
      </c>
      <c r="H6">
        <v>0.1</v>
      </c>
      <c r="I6">
        <v>0.1</v>
      </c>
      <c r="J6">
        <f>G6*H6</f>
        <v>0.30000000000000004</v>
      </c>
    </row>
    <row r="7" spans="1:14" x14ac:dyDescent="0.55000000000000004">
      <c r="A7">
        <v>6</v>
      </c>
      <c r="B7" t="s">
        <v>112</v>
      </c>
      <c r="C7" t="s">
        <v>18</v>
      </c>
      <c r="D7" t="s">
        <v>49</v>
      </c>
      <c r="E7" t="s">
        <v>77</v>
      </c>
      <c r="F7">
        <v>2</v>
      </c>
      <c r="G7">
        <f>K2*F7</f>
        <v>2</v>
      </c>
      <c r="H7">
        <v>2.0099999999999998</v>
      </c>
      <c r="I7">
        <v>2.0099999999999998</v>
      </c>
      <c r="J7">
        <f>I7*G7</f>
        <v>4.0199999999999996</v>
      </c>
    </row>
    <row r="8" spans="1:14" x14ac:dyDescent="0.55000000000000004">
      <c r="A8">
        <v>7</v>
      </c>
      <c r="B8" t="s">
        <v>111</v>
      </c>
      <c r="C8" t="s">
        <v>19</v>
      </c>
      <c r="D8" t="s">
        <v>50</v>
      </c>
      <c r="E8" t="s">
        <v>78</v>
      </c>
      <c r="F8">
        <v>1</v>
      </c>
      <c r="G8">
        <f>K2*F8</f>
        <v>1</v>
      </c>
      <c r="H8">
        <v>0.38</v>
      </c>
      <c r="I8">
        <v>0.38</v>
      </c>
      <c r="J8">
        <f>I8*G8</f>
        <v>0.38</v>
      </c>
      <c r="N8" s="1"/>
    </row>
    <row r="9" spans="1:14" x14ac:dyDescent="0.55000000000000004">
      <c r="A9">
        <v>8</v>
      </c>
      <c r="B9" t="s">
        <v>109</v>
      </c>
      <c r="C9" t="s">
        <v>20</v>
      </c>
      <c r="D9" t="s">
        <v>51</v>
      </c>
      <c r="E9" t="s">
        <v>75</v>
      </c>
      <c r="F9">
        <v>1</v>
      </c>
      <c r="G9">
        <f>K2*F9</f>
        <v>1</v>
      </c>
      <c r="H9">
        <v>0.04</v>
      </c>
      <c r="I9">
        <v>0.04</v>
      </c>
      <c r="J9">
        <f>I9*G9</f>
        <v>0.04</v>
      </c>
    </row>
    <row r="10" spans="1:14" x14ac:dyDescent="0.55000000000000004">
      <c r="A10">
        <v>9</v>
      </c>
      <c r="B10" t="s">
        <v>104</v>
      </c>
      <c r="C10" t="s">
        <v>21</v>
      </c>
      <c r="D10" t="s">
        <v>52</v>
      </c>
      <c r="E10" t="s">
        <v>75</v>
      </c>
      <c r="F10">
        <v>1</v>
      </c>
      <c r="G10">
        <f>K2*F10</f>
        <v>1</v>
      </c>
      <c r="H10">
        <v>0.04</v>
      </c>
      <c r="I10">
        <v>0.04</v>
      </c>
      <c r="J10">
        <f t="shared" ref="J10:J38" si="0">G10*H10</f>
        <v>0.04</v>
      </c>
    </row>
    <row r="11" spans="1:14" x14ac:dyDescent="0.55000000000000004">
      <c r="A11">
        <v>10</v>
      </c>
      <c r="B11" t="s">
        <v>110</v>
      </c>
      <c r="C11" t="s">
        <v>22</v>
      </c>
      <c r="D11" t="s">
        <v>53</v>
      </c>
      <c r="E11" t="s">
        <v>75</v>
      </c>
      <c r="F11">
        <v>1</v>
      </c>
      <c r="G11">
        <f>K2*F11</f>
        <v>1</v>
      </c>
      <c r="H11">
        <v>0.03</v>
      </c>
      <c r="I11">
        <v>0.03</v>
      </c>
      <c r="J11">
        <f t="shared" si="0"/>
        <v>0.03</v>
      </c>
    </row>
    <row r="12" spans="1:14" x14ac:dyDescent="0.55000000000000004">
      <c r="A12">
        <v>11</v>
      </c>
      <c r="B12" t="s">
        <v>114</v>
      </c>
      <c r="C12" t="s">
        <v>23</v>
      </c>
      <c r="D12" t="s">
        <v>54</v>
      </c>
      <c r="E12" t="s">
        <v>4</v>
      </c>
      <c r="F12">
        <v>6</v>
      </c>
      <c r="G12">
        <f>K2*F12</f>
        <v>6</v>
      </c>
      <c r="H12">
        <v>0.03</v>
      </c>
      <c r="I12">
        <v>0.03</v>
      </c>
      <c r="J12">
        <f t="shared" si="0"/>
        <v>0.18</v>
      </c>
    </row>
    <row r="13" spans="1:14" x14ac:dyDescent="0.55000000000000004">
      <c r="A13">
        <v>12</v>
      </c>
      <c r="B13" t="s">
        <v>115</v>
      </c>
      <c r="C13" t="s">
        <v>24</v>
      </c>
      <c r="D13" t="s">
        <v>55</v>
      </c>
      <c r="E13" t="s">
        <v>4</v>
      </c>
      <c r="F13">
        <v>4</v>
      </c>
      <c r="G13">
        <f>K2*F13</f>
        <v>4</v>
      </c>
      <c r="H13">
        <v>0.03</v>
      </c>
      <c r="I13">
        <v>0.03</v>
      </c>
      <c r="J13">
        <f t="shared" si="0"/>
        <v>0.12</v>
      </c>
    </row>
    <row r="14" spans="1:14" x14ac:dyDescent="0.55000000000000004">
      <c r="A14">
        <v>13</v>
      </c>
      <c r="B14" t="s">
        <v>116</v>
      </c>
      <c r="C14" t="s">
        <v>25</v>
      </c>
      <c r="D14" t="s">
        <v>56</v>
      </c>
      <c r="E14" t="s">
        <v>4</v>
      </c>
      <c r="F14">
        <v>4</v>
      </c>
      <c r="G14">
        <f>K2*F14</f>
        <v>4</v>
      </c>
      <c r="H14">
        <v>0.38</v>
      </c>
      <c r="I14">
        <v>0.38</v>
      </c>
      <c r="J14">
        <f t="shared" si="0"/>
        <v>1.52</v>
      </c>
    </row>
    <row r="15" spans="1:14" x14ac:dyDescent="0.55000000000000004">
      <c r="A15">
        <v>14</v>
      </c>
      <c r="B15" t="s">
        <v>117</v>
      </c>
      <c r="C15" t="s">
        <v>26</v>
      </c>
      <c r="D15" t="s">
        <v>57</v>
      </c>
      <c r="E15" t="s">
        <v>4</v>
      </c>
      <c r="F15">
        <v>2</v>
      </c>
      <c r="G15">
        <f>K2*F15</f>
        <v>2</v>
      </c>
      <c r="H15">
        <v>0.03</v>
      </c>
      <c r="I15">
        <v>0.03</v>
      </c>
      <c r="J15">
        <f t="shared" ref="J15:J17" si="1">I15*G15</f>
        <v>0.06</v>
      </c>
    </row>
    <row r="16" spans="1:14" x14ac:dyDescent="0.55000000000000004">
      <c r="A16">
        <v>15</v>
      </c>
      <c r="B16" t="s">
        <v>118</v>
      </c>
      <c r="C16" t="s">
        <v>27</v>
      </c>
      <c r="D16" t="s">
        <v>58</v>
      </c>
      <c r="E16" t="s">
        <v>4</v>
      </c>
      <c r="F16">
        <v>2</v>
      </c>
      <c r="G16">
        <f>K2*F16</f>
        <v>2</v>
      </c>
      <c r="H16">
        <v>0.03</v>
      </c>
      <c r="I16">
        <v>0.03</v>
      </c>
      <c r="J16">
        <f t="shared" si="1"/>
        <v>0.06</v>
      </c>
    </row>
    <row r="17" spans="1:10" x14ac:dyDescent="0.55000000000000004">
      <c r="A17">
        <v>16</v>
      </c>
      <c r="B17" t="s">
        <v>119</v>
      </c>
      <c r="C17" t="s">
        <v>28</v>
      </c>
      <c r="D17" t="s">
        <v>59</v>
      </c>
      <c r="E17" t="s">
        <v>4</v>
      </c>
      <c r="F17">
        <v>1</v>
      </c>
      <c r="G17">
        <f>K2*F17</f>
        <v>1</v>
      </c>
      <c r="H17">
        <v>0.38</v>
      </c>
      <c r="I17">
        <v>0.38</v>
      </c>
      <c r="J17">
        <f t="shared" si="1"/>
        <v>0.38</v>
      </c>
    </row>
    <row r="18" spans="1:10" x14ac:dyDescent="0.55000000000000004">
      <c r="A18">
        <v>17</v>
      </c>
      <c r="B18" t="s">
        <v>120</v>
      </c>
      <c r="C18" t="s">
        <v>29</v>
      </c>
      <c r="D18" t="s">
        <v>60</v>
      </c>
      <c r="E18" t="s">
        <v>4</v>
      </c>
      <c r="F18">
        <v>1</v>
      </c>
      <c r="G18">
        <f>K2*F18</f>
        <v>1</v>
      </c>
      <c r="H18">
        <v>0.09</v>
      </c>
      <c r="I18">
        <v>0.09</v>
      </c>
      <c r="J18">
        <f t="shared" ref="J18:J38" si="2">G18*H18</f>
        <v>0.09</v>
      </c>
    </row>
    <row r="19" spans="1:10" x14ac:dyDescent="0.55000000000000004">
      <c r="A19">
        <v>18</v>
      </c>
      <c r="B19" t="s">
        <v>121</v>
      </c>
      <c r="C19" t="s">
        <v>30</v>
      </c>
      <c r="D19" t="s">
        <v>61</v>
      </c>
      <c r="E19" t="s">
        <v>4</v>
      </c>
      <c r="F19">
        <v>1</v>
      </c>
      <c r="G19">
        <f>K2*F19</f>
        <v>1</v>
      </c>
      <c r="H19">
        <v>0.09</v>
      </c>
      <c r="I19">
        <v>0.09</v>
      </c>
      <c r="J19">
        <f t="shared" si="2"/>
        <v>0.09</v>
      </c>
    </row>
    <row r="20" spans="1:10" x14ac:dyDescent="0.55000000000000004">
      <c r="A20">
        <v>19</v>
      </c>
      <c r="B20" t="s">
        <v>120</v>
      </c>
      <c r="C20" t="s">
        <v>31</v>
      </c>
      <c r="D20" t="s">
        <v>62</v>
      </c>
      <c r="E20" t="s">
        <v>4</v>
      </c>
      <c r="F20">
        <v>1</v>
      </c>
      <c r="G20">
        <f>K2*F20</f>
        <v>1</v>
      </c>
      <c r="H20">
        <v>0.09</v>
      </c>
      <c r="I20">
        <v>0.09</v>
      </c>
      <c r="J20">
        <f t="shared" si="2"/>
        <v>0.09</v>
      </c>
    </row>
    <row r="21" spans="1:10" x14ac:dyDescent="0.55000000000000004">
      <c r="A21">
        <v>20</v>
      </c>
      <c r="B21" t="s">
        <v>122</v>
      </c>
      <c r="C21" t="s">
        <v>32</v>
      </c>
      <c r="D21" t="s">
        <v>63</v>
      </c>
      <c r="E21" t="s">
        <v>4</v>
      </c>
      <c r="F21">
        <v>1</v>
      </c>
      <c r="G21">
        <f>K2*F21</f>
        <v>1</v>
      </c>
      <c r="H21">
        <v>0.09</v>
      </c>
      <c r="I21">
        <v>0.09</v>
      </c>
      <c r="J21">
        <f t="shared" si="2"/>
        <v>0.09</v>
      </c>
    </row>
    <row r="22" spans="1:10" x14ac:dyDescent="0.55000000000000004">
      <c r="A22">
        <v>21</v>
      </c>
      <c r="B22" t="s">
        <v>123</v>
      </c>
      <c r="C22" t="s">
        <v>33</v>
      </c>
      <c r="D22" t="s">
        <v>64</v>
      </c>
      <c r="E22" t="s">
        <v>4</v>
      </c>
      <c r="F22">
        <v>1</v>
      </c>
      <c r="G22">
        <f>K2*F22</f>
        <v>1</v>
      </c>
      <c r="H22">
        <v>0.09</v>
      </c>
      <c r="I22">
        <v>0.09</v>
      </c>
      <c r="J22">
        <f t="shared" si="2"/>
        <v>0.09</v>
      </c>
    </row>
    <row r="23" spans="1:10" x14ac:dyDescent="0.55000000000000004">
      <c r="A23">
        <v>22</v>
      </c>
      <c r="B23" t="s">
        <v>124</v>
      </c>
      <c r="C23" t="s">
        <v>34</v>
      </c>
      <c r="D23" t="s">
        <v>65</v>
      </c>
      <c r="E23" t="s">
        <v>79</v>
      </c>
      <c r="F23">
        <v>1</v>
      </c>
      <c r="G23">
        <f>K2*F23</f>
        <v>1</v>
      </c>
      <c r="H23">
        <v>3.06</v>
      </c>
      <c r="I23">
        <v>3.06</v>
      </c>
      <c r="J23">
        <f t="shared" ref="J23:J25" si="3">I23*G23</f>
        <v>3.06</v>
      </c>
    </row>
    <row r="24" spans="1:10" x14ac:dyDescent="0.55000000000000004">
      <c r="A24">
        <v>23</v>
      </c>
      <c r="B24" t="s">
        <v>125</v>
      </c>
      <c r="C24" t="s">
        <v>35</v>
      </c>
      <c r="D24" t="s">
        <v>66</v>
      </c>
      <c r="E24" t="s">
        <v>80</v>
      </c>
      <c r="F24">
        <v>1</v>
      </c>
      <c r="G24">
        <f>K2*F24</f>
        <v>1</v>
      </c>
      <c r="H24">
        <v>0.44</v>
      </c>
      <c r="I24">
        <v>0.44</v>
      </c>
      <c r="J24">
        <f t="shared" si="3"/>
        <v>0.44</v>
      </c>
    </row>
    <row r="25" spans="1:10" x14ac:dyDescent="0.55000000000000004">
      <c r="A25">
        <v>24</v>
      </c>
      <c r="B25" t="s">
        <v>101</v>
      </c>
      <c r="C25" t="s">
        <v>36</v>
      </c>
      <c r="D25" t="s">
        <v>67</v>
      </c>
      <c r="E25" t="s">
        <v>81</v>
      </c>
      <c r="F25">
        <v>2</v>
      </c>
      <c r="G25">
        <f>K2*F25</f>
        <v>2</v>
      </c>
      <c r="H25">
        <v>1.1299999999999999</v>
      </c>
      <c r="I25">
        <v>1.1299999999999999</v>
      </c>
      <c r="J25">
        <f t="shared" si="3"/>
        <v>2.2599999999999998</v>
      </c>
    </row>
    <row r="26" spans="1:10" x14ac:dyDescent="0.55000000000000004">
      <c r="A26">
        <v>25</v>
      </c>
      <c r="B26" t="s">
        <v>103</v>
      </c>
      <c r="C26" t="s">
        <v>37</v>
      </c>
      <c r="D26" t="s">
        <v>68</v>
      </c>
      <c r="E26" t="s">
        <v>82</v>
      </c>
      <c r="F26">
        <v>1</v>
      </c>
      <c r="G26">
        <f>K2*F26</f>
        <v>1</v>
      </c>
      <c r="H26">
        <v>5.03</v>
      </c>
      <c r="I26">
        <v>5.03</v>
      </c>
      <c r="J26">
        <f t="shared" ref="J26:J38" si="4">G26*H26</f>
        <v>5.03</v>
      </c>
    </row>
    <row r="27" spans="1:10" x14ac:dyDescent="0.55000000000000004">
      <c r="A27">
        <v>26</v>
      </c>
      <c r="B27" t="s">
        <v>102</v>
      </c>
      <c r="C27" t="s">
        <v>38</v>
      </c>
      <c r="D27" t="s">
        <v>69</v>
      </c>
      <c r="E27" t="s">
        <v>83</v>
      </c>
      <c r="F27">
        <v>1</v>
      </c>
      <c r="G27">
        <f>K2*F27</f>
        <v>1</v>
      </c>
      <c r="H27">
        <v>1.02</v>
      </c>
      <c r="I27">
        <v>1.02</v>
      </c>
      <c r="J27">
        <f t="shared" si="4"/>
        <v>1.02</v>
      </c>
    </row>
    <row r="28" spans="1:10" x14ac:dyDescent="0.55000000000000004">
      <c r="A28">
        <v>35</v>
      </c>
      <c r="B28" t="s">
        <v>126</v>
      </c>
      <c r="C28" t="s">
        <v>39</v>
      </c>
      <c r="D28" t="s">
        <v>70</v>
      </c>
      <c r="E28" t="s">
        <v>84</v>
      </c>
      <c r="F28">
        <v>2</v>
      </c>
      <c r="G28">
        <f>K2*F28</f>
        <v>2</v>
      </c>
      <c r="H28">
        <v>0.52</v>
      </c>
      <c r="I28">
        <v>0.52</v>
      </c>
      <c r="J28">
        <f t="shared" si="4"/>
        <v>1.04</v>
      </c>
    </row>
    <row r="29" spans="1:10" x14ac:dyDescent="0.55000000000000004">
      <c r="A29">
        <v>36</v>
      </c>
      <c r="B29" t="s">
        <v>127</v>
      </c>
      <c r="C29" t="s">
        <v>40</v>
      </c>
      <c r="D29" t="s">
        <v>71</v>
      </c>
      <c r="E29" t="s">
        <v>84</v>
      </c>
      <c r="F29">
        <v>1</v>
      </c>
      <c r="G29">
        <f>K2*F29</f>
        <v>1</v>
      </c>
      <c r="H29">
        <v>0.47</v>
      </c>
      <c r="I29">
        <v>0.47</v>
      </c>
      <c r="J29">
        <f t="shared" si="4"/>
        <v>0.47</v>
      </c>
    </row>
    <row r="30" spans="1:10" x14ac:dyDescent="0.55000000000000004">
      <c r="A30">
        <v>37</v>
      </c>
      <c r="C30" t="s">
        <v>41</v>
      </c>
      <c r="D30" t="s">
        <v>72</v>
      </c>
      <c r="E30" t="s">
        <v>84</v>
      </c>
      <c r="F30">
        <v>0</v>
      </c>
      <c r="G30">
        <f>K2*F30</f>
        <v>0</v>
      </c>
      <c r="J30">
        <f t="shared" si="4"/>
        <v>0</v>
      </c>
    </row>
    <row r="31" spans="1:10" x14ac:dyDescent="0.55000000000000004">
      <c r="A31">
        <v>38</v>
      </c>
      <c r="B31" t="s">
        <v>128</v>
      </c>
      <c r="C31" t="s">
        <v>42</v>
      </c>
      <c r="D31" t="s">
        <v>73</v>
      </c>
      <c r="E31" t="s">
        <v>85</v>
      </c>
      <c r="F31">
        <v>4</v>
      </c>
      <c r="G31">
        <f>K2*F31</f>
        <v>4</v>
      </c>
      <c r="H31">
        <v>1.64</v>
      </c>
      <c r="I31">
        <v>1.64</v>
      </c>
      <c r="J31">
        <f t="shared" ref="J31:J33" si="5">I31*G31</f>
        <v>6.56</v>
      </c>
    </row>
    <row r="32" spans="1:10" x14ac:dyDescent="0.55000000000000004">
      <c r="A32">
        <v>39</v>
      </c>
      <c r="B32" t="s">
        <v>129</v>
      </c>
      <c r="C32" t="s">
        <v>43</v>
      </c>
      <c r="D32" t="s">
        <v>74</v>
      </c>
      <c r="E32" t="s">
        <v>86</v>
      </c>
      <c r="F32">
        <v>2</v>
      </c>
      <c r="G32">
        <f>K2*F32</f>
        <v>2</v>
      </c>
      <c r="H32">
        <v>0.2</v>
      </c>
      <c r="I32">
        <v>0.2</v>
      </c>
      <c r="J32">
        <f t="shared" si="5"/>
        <v>0.4</v>
      </c>
    </row>
    <row r="33" spans="1:10" x14ac:dyDescent="0.55000000000000004">
      <c r="A33">
        <v>40</v>
      </c>
      <c r="C33" t="s">
        <v>99</v>
      </c>
      <c r="D33" t="s">
        <v>100</v>
      </c>
      <c r="E33" t="s">
        <v>87</v>
      </c>
      <c r="F33">
        <v>2</v>
      </c>
      <c r="G33">
        <f>K2*F33</f>
        <v>2</v>
      </c>
      <c r="J33">
        <f t="shared" si="5"/>
        <v>0</v>
      </c>
    </row>
    <row r="34" spans="1:10" x14ac:dyDescent="0.55000000000000004">
      <c r="A34">
        <v>42</v>
      </c>
      <c r="C34" t="s">
        <v>93</v>
      </c>
      <c r="D34" t="s">
        <v>92</v>
      </c>
      <c r="E34" t="s">
        <v>88</v>
      </c>
      <c r="F34">
        <v>3</v>
      </c>
      <c r="G34">
        <f>K2*F34</f>
        <v>3</v>
      </c>
      <c r="J34">
        <f t="shared" ref="J34:J38" si="6">G34*H34</f>
        <v>0</v>
      </c>
    </row>
    <row r="35" spans="1:10" x14ac:dyDescent="0.55000000000000004">
      <c r="A35">
        <v>44</v>
      </c>
      <c r="C35" t="s">
        <v>94</v>
      </c>
      <c r="D35" t="s">
        <v>95</v>
      </c>
      <c r="E35" t="s">
        <v>89</v>
      </c>
      <c r="F35">
        <v>6</v>
      </c>
      <c r="G35">
        <f>K2*F35</f>
        <v>6</v>
      </c>
      <c r="J35">
        <f t="shared" si="6"/>
        <v>0</v>
      </c>
    </row>
    <row r="36" spans="1:10" x14ac:dyDescent="0.55000000000000004">
      <c r="A36">
        <v>50</v>
      </c>
      <c r="C36" t="s">
        <v>98</v>
      </c>
      <c r="E36" t="s">
        <v>90</v>
      </c>
      <c r="F36">
        <v>6</v>
      </c>
      <c r="G36">
        <f>K2*F36</f>
        <v>6</v>
      </c>
      <c r="J36">
        <f t="shared" si="6"/>
        <v>0</v>
      </c>
    </row>
    <row r="37" spans="1:10" x14ac:dyDescent="0.55000000000000004">
      <c r="A37">
        <v>53</v>
      </c>
      <c r="C37" t="s">
        <v>96</v>
      </c>
      <c r="E37" t="s">
        <v>5</v>
      </c>
      <c r="F37">
        <v>16</v>
      </c>
      <c r="G37">
        <f>K2*F37</f>
        <v>16</v>
      </c>
      <c r="J37">
        <f t="shared" si="6"/>
        <v>0</v>
      </c>
    </row>
    <row r="38" spans="1:10" x14ac:dyDescent="0.55000000000000004">
      <c r="A38">
        <v>61</v>
      </c>
      <c r="C38" t="s">
        <v>97</v>
      </c>
      <c r="E38" t="s">
        <v>91</v>
      </c>
      <c r="F38">
        <v>8</v>
      </c>
      <c r="G38">
        <f>K2*F38</f>
        <v>8</v>
      </c>
      <c r="J38">
        <f t="shared" si="6"/>
        <v>0</v>
      </c>
    </row>
    <row r="39" spans="1:10" x14ac:dyDescent="0.55000000000000004">
      <c r="J39">
        <f>SUM(J2:J38)</f>
        <v>30.679999999999996</v>
      </c>
    </row>
  </sheetData>
  <pageMargins left="0.7" right="0.7" top="0.78740157499999996" bottom="0.78740157499999996" header="0.3" footer="0.3"/>
  <pageSetup paperSize="9" orientation="portrait" r:id="rId1"/>
  <headerFooter>
    <oddFooter>&amp;C_x000D_&amp;1#&amp;"Arial"&amp;8&amp;K13A10E C1 - Internal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153fe9b-4f78-4308-9e6f-9eb67701de62}" enabled="1" method="Standard" siteId="{1357ca9e-a1a5-404b-bb16-554d5d05c5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Pachler</dc:creator>
  <cp:lastModifiedBy>Fabio Pachler</cp:lastModifiedBy>
  <dcterms:created xsi:type="dcterms:W3CDTF">2025-12-09T09:11:18Z</dcterms:created>
  <dcterms:modified xsi:type="dcterms:W3CDTF">2026-01-19T13:23:05Z</dcterms:modified>
</cp:coreProperties>
</file>